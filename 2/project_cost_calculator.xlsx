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I_Generation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Traffic" sheetId="4" state="visible" r:id="rId4"/>
    <sheet xmlns:r="http://schemas.openxmlformats.org/officeDocument/2006/relationships" name="TOTAL" sheetId="5" state="visible" r:id="rId5"/>
    <sheet xmlns:r="http://schemas.openxmlformats.org/officeDocument/2006/relationships" name="Forecast_6M" sheetId="6" state="visible" r:id="rId6"/>
    <sheet xmlns:r="http://schemas.openxmlformats.org/officeDocument/2006/relationships" name="Token_Calcula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6"/>
    </font>
    <font>
      <b val="1"/>
      <sz val="12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5"/>
        <bgColor rgb="00D6DCE5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2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5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5" borderId="1" pivotButton="0" quotePrefix="0" xfId="0"/>
    <xf numFmtId="164" fontId="0" fillId="0" borderId="1" pivotButton="0" quotePrefix="0" xfId="0"/>
    <xf numFmtId="164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35" customWidth="1" min="4" max="4"/>
  </cols>
  <sheetData>
    <row r="1">
      <c r="A1" s="1" t="inlineStr">
        <is>
          <t>ПАНЕЛЬ УПРАВЛЕНИЯ - ВВОДНЫЕ ДАННЫЕ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Единица</t>
        </is>
      </c>
      <c r="D3" s="2" t="inlineStr">
        <is>
          <t>Комментарий</t>
        </is>
      </c>
    </row>
    <row r="4">
      <c r="A4" s="3" t="inlineStr">
        <is>
          <t>ПОЛЬЗОВАТЕЛИ</t>
        </is>
      </c>
      <c r="B4" s="3" t="inlineStr"/>
      <c r="C4" s="3" t="inlineStr"/>
      <c r="D4" s="3" t="inlineStr"/>
    </row>
    <row r="5">
      <c r="A5" s="4" t="inlineStr">
        <is>
          <t>Пользователи (месяц 1)</t>
        </is>
      </c>
      <c r="B5" s="5" t="n">
        <v>5000</v>
      </c>
      <c r="C5" s="4" t="inlineStr">
        <is>
          <t>чел</t>
        </is>
      </c>
      <c r="D5" s="4" t="inlineStr">
        <is>
          <t>MVP старт</t>
        </is>
      </c>
    </row>
    <row r="6">
      <c r="A6" s="4" t="inlineStr">
        <is>
          <t>Рост пользователей</t>
        </is>
      </c>
      <c r="B6" s="5" t="n">
        <v>15</v>
      </c>
      <c r="C6" s="4" t="inlineStr">
        <is>
          <t>%</t>
        </is>
      </c>
      <c r="D6" s="4" t="inlineStr">
        <is>
          <t>Ежемесячный прирост</t>
        </is>
      </c>
    </row>
    <row r="7">
      <c r="A7" s="4" t="inlineStr">
        <is>
          <t>Текущий месяц расчета</t>
        </is>
      </c>
      <c r="B7" s="5" t="n">
        <v>1</v>
      </c>
      <c r="C7" s="4" t="inlineStr">
        <is>
          <t>мес</t>
        </is>
      </c>
      <c r="D7" s="4" t="inlineStr">
        <is>
          <t>Меняй для прогноза (1-12)</t>
        </is>
      </c>
    </row>
    <row r="8">
      <c r="A8" s="4" t="inlineStr"/>
      <c r="B8" s="4" t="inlineStr"/>
      <c r="C8" s="4" t="inlineStr"/>
      <c r="D8" s="4" t="inlineStr"/>
    </row>
    <row r="9">
      <c r="A9" s="3" t="inlineStr">
        <is>
          <t>ИСПОЛЬЗОВАНИЕ НА ПОЛЬЗОВАТЕЛЯ</t>
        </is>
      </c>
      <c r="B9" s="3" t="inlineStr"/>
      <c r="C9" s="3" t="inlineStr"/>
      <c r="D9" s="3" t="inlineStr"/>
    </row>
    <row r="10">
      <c r="A10" s="4" t="inlineStr">
        <is>
          <t>Примерок на пользователя</t>
        </is>
      </c>
      <c r="B10" s="5" t="n">
        <v>3</v>
      </c>
      <c r="C10" s="4" t="inlineStr">
        <is>
          <t>шт</t>
        </is>
      </c>
      <c r="D10" s="4" t="inlineStr">
        <is>
          <t>Pixelcut Try-On</t>
        </is>
      </c>
    </row>
    <row r="11">
      <c r="A11" s="4" t="inlineStr">
        <is>
          <t>Анимаций (видео) на пользователя</t>
        </is>
      </c>
      <c r="B11" s="5" t="n">
        <v>1</v>
      </c>
      <c r="C11" s="4" t="inlineStr">
        <is>
          <t>шт</t>
        </is>
      </c>
      <c r="D11" s="4" t="inlineStr">
        <is>
          <t>Video generation</t>
        </is>
      </c>
    </row>
    <row r="12">
      <c r="A12" s="4" t="inlineStr">
        <is>
          <t>LLM запросов на пользователя</t>
        </is>
      </c>
      <c r="B12" s="5" t="n">
        <v>5</v>
      </c>
      <c r="C12" s="4" t="inlineStr">
        <is>
          <t>шт</t>
        </is>
      </c>
      <c r="D12" s="4" t="inlineStr">
        <is>
          <t>Чат/рекомендации</t>
        </is>
      </c>
    </row>
    <row r="13">
      <c r="A13" s="4" t="inlineStr"/>
      <c r="B13" s="4" t="inlineStr"/>
      <c r="C13" s="4" t="inlineStr"/>
      <c r="D13" s="4" t="inlineStr"/>
    </row>
    <row r="14">
      <c r="A14" s="3" t="inlineStr">
        <is>
          <t>РАЗМЕРЫ ФАЙЛОВ</t>
        </is>
      </c>
      <c r="B14" s="3" t="inlineStr"/>
      <c r="C14" s="3" t="inlineStr"/>
      <c r="D14" s="3" t="inlineStr"/>
    </row>
    <row r="15">
      <c r="A15" s="4" t="inlineStr">
        <is>
          <t>Средний размер фото</t>
        </is>
      </c>
      <c r="B15" s="5" t="n">
        <v>3</v>
      </c>
      <c r="C15" s="4" t="inlineStr">
        <is>
          <t>MB</t>
        </is>
      </c>
      <c r="D15" s="4" t="inlineStr">
        <is>
          <t>Входное изображение</t>
        </is>
      </c>
    </row>
    <row r="16">
      <c r="A16" s="4" t="inlineStr">
        <is>
          <t>Средний размер видео</t>
        </is>
      </c>
      <c r="B16" s="5" t="n">
        <v>15</v>
      </c>
      <c r="C16" s="4" t="inlineStr">
        <is>
          <t>MB</t>
        </is>
      </c>
      <c r="D16" s="4" t="inlineStr">
        <is>
          <t>Сгенерированное видео</t>
        </is>
      </c>
    </row>
    <row r="17">
      <c r="A17" s="4" t="inlineStr"/>
      <c r="B17" s="4" t="inlineStr"/>
      <c r="C17" s="4" t="inlineStr"/>
      <c r="D17" s="4" t="inlineStr"/>
    </row>
    <row r="18">
      <c r="A18" s="3" t="inlineStr">
        <is>
          <t>МАСШТАБИРОВАНИЕ</t>
        </is>
      </c>
      <c r="B18" s="3" t="inlineStr"/>
      <c r="C18" s="3" t="inlineStr"/>
      <c r="D18" s="3" t="inlineStr"/>
    </row>
    <row r="19">
      <c r="A19" s="4" t="inlineStr">
        <is>
          <t>Пользователей на 1 сервер</t>
        </is>
      </c>
      <c r="B19" s="5" t="n">
        <v>10000</v>
      </c>
      <c r="C19" s="4" t="inlineStr">
        <is>
          <t>чел</t>
        </is>
      </c>
      <c r="D19" s="4" t="inlineStr">
        <is>
          <t>Порог для автоскейла</t>
        </is>
      </c>
    </row>
    <row r="21">
      <c r="A21" s="6" t="inlineStr">
        <is>
          <t>РАСЧЕТНЫЕ ЗНАЧЕНИЯ</t>
        </is>
      </c>
    </row>
    <row r="22">
      <c r="A22" s="4" t="inlineStr">
        <is>
          <t>Пользователи (текущий месяц)</t>
        </is>
      </c>
      <c r="B22" s="7">
        <f>IF(B7=1,B5,ROUND(B5*(1+B6/100)^(B7-1),0))</f>
        <v/>
      </c>
      <c r="C22" s="4" t="inlineStr">
        <is>
          <t>чел</t>
        </is>
      </c>
      <c r="D22" s="4" t="inlineStr">
        <is>
          <t>С учетом роста</t>
        </is>
      </c>
    </row>
    <row r="23">
      <c r="A23" s="4" t="inlineStr">
        <is>
          <t>Всего примерок</t>
        </is>
      </c>
      <c r="B23" s="7">
        <f>B22*B10</f>
        <v/>
      </c>
      <c r="C23" s="4" t="inlineStr">
        <is>
          <t>шт</t>
        </is>
      </c>
      <c r="D23" s="4" t="inlineStr">
        <is>
          <t>В месяц</t>
        </is>
      </c>
    </row>
    <row r="24">
      <c r="A24" s="4" t="inlineStr">
        <is>
          <t>Всего видео</t>
        </is>
      </c>
      <c r="B24" s="7">
        <f>B22*B11</f>
        <v/>
      </c>
      <c r="C24" s="4" t="inlineStr">
        <is>
          <t>шт</t>
        </is>
      </c>
      <c r="D24" s="4" t="inlineStr">
        <is>
          <t>В месяц</t>
        </is>
      </c>
    </row>
    <row r="25">
      <c r="A25" s="4" t="inlineStr">
        <is>
          <t>Всего LLM запросов</t>
        </is>
      </c>
      <c r="B25" s="7">
        <f>B22*B12</f>
        <v/>
      </c>
      <c r="C25" s="4" t="inlineStr">
        <is>
          <t>шт</t>
        </is>
      </c>
      <c r="D25" s="4" t="inlineStr">
        <is>
          <t>В месяц</t>
        </is>
      </c>
    </row>
    <row r="26">
      <c r="A26" s="4" t="inlineStr">
        <is>
          <t>Хранилище фото (GB)</t>
        </is>
      </c>
      <c r="B26" s="7">
        <f>B23*B15/1024</f>
        <v/>
      </c>
      <c r="C26" s="4" t="inlineStr">
        <is>
          <t>GB</t>
        </is>
      </c>
      <c r="D26" s="4" t="inlineStr">
        <is>
          <t>В месяц</t>
        </is>
      </c>
    </row>
    <row r="27">
      <c r="A27" s="4" t="inlineStr">
        <is>
          <t>Хранилище видео (GB)</t>
        </is>
      </c>
      <c r="B27" s="7">
        <f>B24*B16/1024</f>
        <v/>
      </c>
      <c r="C27" s="4" t="inlineStr">
        <is>
          <t>GB</t>
        </is>
      </c>
      <c r="D27" s="4" t="inlineStr">
        <is>
          <t>В месяц</t>
        </is>
      </c>
    </row>
    <row r="28">
      <c r="A28" s="4" t="inlineStr">
        <is>
          <t>Требуется серверов</t>
        </is>
      </c>
      <c r="B28" s="7">
        <f>CEILING(B22/B19,1)</f>
        <v/>
      </c>
      <c r="C28" s="4" t="inlineStr">
        <is>
          <t>шт</t>
        </is>
      </c>
      <c r="D28" s="4" t="inlineStr">
        <is>
          <t>Автоскейл</t>
        </is>
      </c>
    </row>
  </sheetData>
  <mergeCells count="2">
    <mergeCell ref="A1:D1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ИИ И ГЕНЕРАЦИЯ - ЗАТРАТЫ</t>
        </is>
      </c>
    </row>
    <row r="3">
      <c r="A3" s="2" t="inlineStr">
        <is>
          <t>Сервис / Операция</t>
        </is>
      </c>
      <c r="B3" s="2" t="inlineStr">
        <is>
          <t>Цена за 1 опер. ($)</t>
        </is>
      </c>
      <c r="C3" s="2" t="inlineStr">
        <is>
          <t>Количество</t>
        </is>
      </c>
      <c r="D3" s="2" t="inlineStr">
        <is>
          <t>Итого ($)</t>
        </is>
      </c>
      <c r="E3" s="2" t="inlineStr">
        <is>
          <t>Комментарий</t>
        </is>
      </c>
    </row>
    <row r="4">
      <c r="A4" s="3" t="inlineStr">
        <is>
          <t>ВИРТУАЛЬНЫЕ ПРИМЕРКИ</t>
        </is>
      </c>
      <c r="B4" s="3" t="inlineStr"/>
      <c r="C4" s="3" t="inlineStr"/>
      <c r="D4" s="3" t="inlineStr"/>
      <c r="E4" s="3" t="inlineStr"/>
    </row>
    <row r="5">
      <c r="A5" s="4" t="inlineStr">
        <is>
          <t>Pixelcut Try-On API</t>
        </is>
      </c>
      <c r="B5" s="4" t="n">
        <v>0.1</v>
      </c>
      <c r="C5" s="4">
        <f>CONTROL!B23</f>
        <v/>
      </c>
      <c r="D5" s="4">
        <f>B5*C5</f>
        <v/>
      </c>
      <c r="E5" s="4" t="inlineStr">
        <is>
          <t>10 кредитов = $0.10/изображение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3" t="inlineStr">
        <is>
          <t>ВИДЕО ГЕНЕРАЦИЯ</t>
        </is>
      </c>
      <c r="B7" s="3" t="inlineStr"/>
      <c r="C7" s="3" t="inlineStr"/>
      <c r="D7" s="3" t="inlineStr"/>
      <c r="E7" s="3" t="inlineStr"/>
    </row>
    <row r="8">
      <c r="A8" s="4" t="inlineStr">
        <is>
          <t>Video Animation (MiniMax/Runway)</t>
        </is>
      </c>
      <c r="B8" s="4" t="n">
        <v>0.5</v>
      </c>
      <c r="C8" s="4">
        <f>CONTROL!B24</f>
        <v/>
      </c>
      <c r="D8" s="4">
        <f>B9*C9</f>
        <v/>
      </c>
      <c r="E8" s="4" t="inlineStr">
        <is>
          <t>~$0.50 за 5 сек видео</t>
        </is>
      </c>
    </row>
    <row r="9">
      <c r="A9" s="4" t="inlineStr"/>
      <c r="B9" s="4" t="inlineStr"/>
      <c r="C9" s="4" t="inlineStr"/>
      <c r="D9" s="4" t="inlineStr"/>
      <c r="E9" s="4" t="inlineStr"/>
    </row>
    <row r="10">
      <c r="A10" s="3" t="inlineStr">
        <is>
          <t>LLM / ТЕКСТ</t>
        </is>
      </c>
      <c r="B10" s="3" t="inlineStr"/>
      <c r="C10" s="3" t="inlineStr"/>
      <c r="D10" s="3" t="inlineStr"/>
      <c r="E10" s="3" t="inlineStr"/>
    </row>
    <row r="11">
      <c r="A11" s="4" t="inlineStr">
        <is>
          <t>OpenAI GPT-4o (1K токенов)</t>
        </is>
      </c>
      <c r="B11" s="4" t="n">
        <v>0.005</v>
      </c>
      <c r="C11" s="4">
        <f>CONTROL!B25*2</f>
        <v/>
      </c>
      <c r="D11" s="4">
        <f>B13*C13</f>
        <v/>
      </c>
      <c r="E11" s="4" t="inlineStr">
        <is>
          <t>input+output ~2K токенов/запрос</t>
        </is>
      </c>
    </row>
    <row r="12">
      <c r="A12" s="4" t="inlineStr">
        <is>
          <t>OpenAI GPT-4o-mini (backup)</t>
        </is>
      </c>
      <c r="B12" s="4" t="n">
        <v>0.0003</v>
      </c>
      <c r="C12" s="4">
        <f>CONTROL!B25*0.5</f>
        <v/>
      </c>
      <c r="D12" s="4">
        <f>B14*C14</f>
        <v/>
      </c>
      <c r="E12" s="4" t="inlineStr">
        <is>
          <t>Легкие запросы</t>
        </is>
      </c>
    </row>
    <row r="13">
      <c r="A13" s="4" t="inlineStr">
        <is>
          <t>Embeddings (поиск)</t>
        </is>
      </c>
      <c r="B13" s="4" t="n">
        <v>0.0001</v>
      </c>
      <c r="C13" s="4">
        <f>CONTROL!B25</f>
        <v/>
      </c>
      <c r="D13" s="4">
        <f>B15*C15</f>
        <v/>
      </c>
      <c r="E13" s="4" t="inlineStr">
        <is>
          <t>Рекомендации</t>
        </is>
      </c>
    </row>
    <row r="14">
      <c r="A14" s="4" t="inlineStr"/>
      <c r="B14" s="4" t="inlineStr"/>
      <c r="C14" s="4" t="inlineStr"/>
      <c r="D14" s="4" t="inlineStr"/>
      <c r="E14" s="4" t="inlineStr"/>
    </row>
    <row r="15">
      <c r="A15" s="3" t="inlineStr">
        <is>
          <t>ДОПОЛНИТЕЛЬНЫЕ AI</t>
        </is>
      </c>
      <c r="B15" s="3" t="inlineStr"/>
      <c r="C15" s="3" t="inlineStr"/>
      <c r="D15" s="3" t="inlineStr"/>
      <c r="E15" s="3" t="inlineStr"/>
    </row>
    <row r="16">
      <c r="A16" s="4" t="inlineStr">
        <is>
          <t>Background Removal</t>
        </is>
      </c>
      <c r="B16" s="4" t="n">
        <v>0.02</v>
      </c>
      <c r="C16" s="4">
        <f>CONTROL!B23*0.5</f>
        <v/>
      </c>
      <c r="D16" s="4">
        <f>B19*C19</f>
        <v/>
      </c>
      <c r="E16" s="4" t="inlineStr">
        <is>
          <t>50% примерок</t>
        </is>
      </c>
    </row>
    <row r="17">
      <c r="A17" s="4" t="inlineStr">
        <is>
          <t>Image Upscale</t>
        </is>
      </c>
      <c r="B17" s="4" t="n">
        <v>0.01</v>
      </c>
      <c r="C17" s="4">
        <f>CONTROL!B23*0.3</f>
        <v/>
      </c>
      <c r="D17" s="4">
        <f>B20*C20</f>
        <v/>
      </c>
      <c r="E17" s="4" t="inlineStr">
        <is>
          <t>30% примерок</t>
        </is>
      </c>
    </row>
    <row r="22">
      <c r="A22" s="8" t="inlineStr">
        <is>
          <t>ИТОГО AI И ГЕНЕРАЦИЯ</t>
        </is>
      </c>
      <c r="B22" s="4" t="n"/>
      <c r="C22" s="4" t="n"/>
      <c r="D22" s="8">
        <f>SUM(D5:D21)</f>
        <v/>
      </c>
      <c r="E22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35" customWidth="1" min="5" max="5"/>
  </cols>
  <sheetData>
    <row r="1">
      <c r="A1" s="1" t="inlineStr">
        <is>
          <t>ИНФРАСТРУКТУРА - СЕРВЕРЫ И СЕРВИСЫ</t>
        </is>
      </c>
    </row>
    <row r="3">
      <c r="A3" s="2" t="inlineStr">
        <is>
          <t>Ресурс</t>
        </is>
      </c>
      <c r="B3" s="2" t="inlineStr">
        <is>
          <t>Цена/мес ($)</t>
        </is>
      </c>
      <c r="C3" s="2" t="inlineStr">
        <is>
          <t>Количество</t>
        </is>
      </c>
      <c r="D3" s="2" t="inlineStr">
        <is>
          <t>Итого ($)</t>
        </is>
      </c>
      <c r="E3" s="2" t="inlineStr">
        <is>
          <t>Провайдер / Комментарий</t>
        </is>
      </c>
    </row>
    <row r="4">
      <c r="A4" s="3" t="inlineStr">
        <is>
          <t>СЕРВЕРЫ</t>
        </is>
      </c>
      <c r="B4" s="3" t="inlineStr"/>
      <c r="C4" s="3" t="inlineStr"/>
      <c r="D4" s="3" t="inlineStr"/>
      <c r="E4" s="3" t="inlineStr"/>
    </row>
    <row r="5">
      <c r="A5" s="4" t="inlineStr">
        <is>
          <t>Backend VPS (4 CPU / 8 GB)</t>
        </is>
      </c>
      <c r="B5" s="4" t="n">
        <v>45</v>
      </c>
      <c r="C5" s="4">
        <f>CONTROL!B28</f>
        <v/>
      </c>
      <c r="D5" s="4">
        <f>B5*C5</f>
        <v/>
      </c>
      <c r="E5" s="4" t="inlineStr">
        <is>
          <t>DigitalOcean / Vultr</t>
        </is>
      </c>
    </row>
    <row r="6">
      <c r="A6" s="4" t="inlineStr">
        <is>
          <t>Worker Server (AI Queue)</t>
        </is>
      </c>
      <c r="B6" s="4" t="n">
        <v>60</v>
      </c>
      <c r="C6" s="4">
        <f>CEILING(CONTROL!B28/2,1)</f>
        <v/>
      </c>
      <c r="D6" s="4">
        <f>B6*C6</f>
        <v/>
      </c>
      <c r="E6" s="4" t="inlineStr">
        <is>
          <t>Для обработки задач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БАЗЫ ДАННЫХ</t>
        </is>
      </c>
      <c r="B8" s="3" t="inlineStr"/>
      <c r="C8" s="3" t="inlineStr"/>
      <c r="D8" s="3" t="inlineStr"/>
      <c r="E8" s="3" t="inlineStr"/>
    </row>
    <row r="9">
      <c r="A9" s="4" t="inlineStr">
        <is>
          <t>PostgreSQL Managed</t>
        </is>
      </c>
      <c r="B9" s="4" t="n">
        <v>25</v>
      </c>
      <c r="C9" s="4" t="n">
        <v>1</v>
      </c>
      <c r="D9" s="4">
        <f>B10*C10</f>
        <v/>
      </c>
      <c r="E9" s="4" t="inlineStr">
        <is>
          <t>DigitalOcean / Supabase</t>
        </is>
      </c>
    </row>
    <row r="10">
      <c r="A10" s="4" t="inlineStr">
        <is>
          <t>Redis (кэш/очереди)</t>
        </is>
      </c>
      <c r="B10" s="4" t="n">
        <v>15</v>
      </c>
      <c r="C10" s="4" t="n">
        <v>1</v>
      </c>
      <c r="D10" s="4">
        <f>B11*C11</f>
        <v/>
      </c>
      <c r="E10" s="4" t="inlineStr">
        <is>
          <t>Upstash / Redis Cloud</t>
        </is>
      </c>
    </row>
    <row r="11">
      <c r="A11" s="4" t="inlineStr"/>
      <c r="B11" s="4" t="inlineStr"/>
      <c r="C11" s="4" t="inlineStr"/>
      <c r="D11" s="4" t="inlineStr"/>
      <c r="E11" s="4" t="inlineStr"/>
    </row>
    <row r="12">
      <c r="A12" s="3" t="inlineStr">
        <is>
          <t>ХРАНИЛИЩЕ</t>
        </is>
      </c>
      <c r="B12" s="3" t="inlineStr"/>
      <c r="C12" s="3" t="inlineStr"/>
      <c r="D12" s="3" t="inlineStr"/>
      <c r="E12" s="3" t="inlineStr"/>
    </row>
    <row r="13">
      <c r="A13" s="4" t="inlineStr">
        <is>
          <t>Object Storage (за GB)</t>
        </is>
      </c>
      <c r="B13" s="4" t="n">
        <v>0.02</v>
      </c>
      <c r="C13" s="4">
        <f>CONTROL!B26+CONTROL!B27</f>
        <v/>
      </c>
      <c r="D13" s="4">
        <f>B15*C15</f>
        <v/>
      </c>
      <c r="E13" s="4" t="inlineStr">
        <is>
          <t>S3 / Cloudflare R2</t>
        </is>
      </c>
    </row>
    <row r="14">
      <c r="A14" s="4" t="inlineStr">
        <is>
          <t>CDN Bandwidth (за GB)</t>
        </is>
      </c>
      <c r="B14" s="4" t="n">
        <v>0.01</v>
      </c>
      <c r="C14" s="4">
        <f>(CONTROL!B26+CONTROL!B27)*3</f>
        <v/>
      </c>
      <c r="D14" s="4">
        <f>B16*C16</f>
        <v/>
      </c>
      <c r="E14" s="4" t="inlineStr">
        <is>
          <t>x3 от хранилища</t>
        </is>
      </c>
    </row>
    <row r="15">
      <c r="A15" s="4" t="inlineStr"/>
      <c r="B15" s="4" t="inlineStr"/>
      <c r="C15" s="4" t="inlineStr"/>
      <c r="D15" s="4" t="inlineStr"/>
      <c r="E15" s="4" t="inlineStr"/>
    </row>
    <row r="16">
      <c r="A16" s="3" t="inlineStr">
        <is>
          <t>ДОПОЛНИТЕЛЬНО</t>
        </is>
      </c>
      <c r="B16" s="3" t="inlineStr"/>
      <c r="C16" s="3" t="inlineStr"/>
      <c r="D16" s="3" t="inlineStr"/>
      <c r="E16" s="3" t="inlineStr"/>
    </row>
    <row r="17">
      <c r="A17" s="4" t="inlineStr">
        <is>
          <t>SSL / Domain</t>
        </is>
      </c>
      <c r="B17" s="4" t="n">
        <v>0</v>
      </c>
      <c r="C17" s="4" t="n">
        <v>1</v>
      </c>
      <c r="D17" s="4">
        <f>B20*C20</f>
        <v/>
      </c>
      <c r="E17" s="4" t="inlineStr">
        <is>
          <t>Let's Encrypt бесплатно</t>
        </is>
      </c>
    </row>
    <row r="18">
      <c r="A18" s="4" t="inlineStr">
        <is>
          <t>Monitoring (Sentry)</t>
        </is>
      </c>
      <c r="B18" s="4" t="n">
        <v>26</v>
      </c>
      <c r="C18" s="4" t="n">
        <v>1</v>
      </c>
      <c r="D18" s="4">
        <f>B21*C21</f>
        <v/>
      </c>
      <c r="E18" s="4" t="inlineStr">
        <is>
          <t>Team plan</t>
        </is>
      </c>
    </row>
    <row r="19">
      <c r="A19" s="4" t="inlineStr">
        <is>
          <t>CI/CD (GitHub Actions)</t>
        </is>
      </c>
      <c r="B19" s="4" t="n">
        <v>0</v>
      </c>
      <c r="C19" s="4" t="n">
        <v>1</v>
      </c>
      <c r="D19" s="4">
        <f>B22*C22</f>
        <v/>
      </c>
      <c r="E19" s="4" t="inlineStr">
        <is>
          <t>Free tier достаточно</t>
        </is>
      </c>
    </row>
    <row r="20">
      <c r="A20" s="4" t="inlineStr">
        <is>
          <t>Email Service (Resend)</t>
        </is>
      </c>
      <c r="B20" s="4" t="n">
        <v>20</v>
      </c>
      <c r="C20" s="4" t="n">
        <v>1</v>
      </c>
      <c r="D20" s="4">
        <f>B23*C23</f>
        <v/>
      </c>
      <c r="E20" s="4" t="inlineStr">
        <is>
          <t>10K emails/month</t>
        </is>
      </c>
    </row>
    <row r="25">
      <c r="A25" s="8" t="inlineStr">
        <is>
          <t>ИТОГО ИНФРАСТРУКТУРА</t>
        </is>
      </c>
      <c r="B25" s="4" t="n"/>
      <c r="C25" s="4" t="n"/>
      <c r="D25" s="8">
        <f>SUM(D5:D24)</f>
        <v/>
      </c>
      <c r="E25" s="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15" customWidth="1" min="4" max="4"/>
    <col width="35" customWidth="1" min="5" max="5"/>
  </cols>
  <sheetData>
    <row r="1">
      <c r="A1" s="1" t="inlineStr">
        <is>
          <t>ТРАФИК И КОММУНИКАЦИИ</t>
        </is>
      </c>
    </row>
    <row r="3">
      <c r="A3" s="2" t="inlineStr">
        <is>
          <t>Канал</t>
        </is>
      </c>
      <c r="B3" s="2" t="inlineStr">
        <is>
          <t>Цена за событие ($)</t>
        </is>
      </c>
      <c r="C3" s="2" t="inlineStr">
        <is>
          <t>Количество</t>
        </is>
      </c>
      <c r="D3" s="2" t="inlineStr">
        <is>
          <t>Итого ($)</t>
        </is>
      </c>
      <c r="E3" s="2" t="inlineStr">
        <is>
          <t>Комментарий</t>
        </is>
      </c>
    </row>
    <row r="4">
      <c r="A4" s="3" t="inlineStr">
        <is>
          <t>УВЕДОМЛЕНИЯ</t>
        </is>
      </c>
      <c r="B4" s="3" t="inlineStr"/>
      <c r="C4" s="3" t="inlineStr"/>
      <c r="D4" s="3" t="inlineStr"/>
      <c r="E4" s="3" t="inlineStr"/>
    </row>
    <row r="5">
      <c r="A5" s="4" t="inlineStr">
        <is>
          <t>Push Notifications</t>
        </is>
      </c>
      <c r="B5" s="4" t="n">
        <v>0.0001</v>
      </c>
      <c r="C5" s="4">
        <f>CONTROL!B22*10</f>
        <v/>
      </c>
      <c r="D5" s="4">
        <f>B5*C5</f>
        <v/>
      </c>
      <c r="E5" s="4" t="inlineStr">
        <is>
          <t>~10 пушей/пользователь</t>
        </is>
      </c>
    </row>
    <row r="6">
      <c r="A6" s="4" t="inlineStr">
        <is>
          <t>Email (транзакционные)</t>
        </is>
      </c>
      <c r="B6" s="4" t="n">
        <v>0.001</v>
      </c>
      <c r="C6" s="4">
        <f>CONTROL!B22*3</f>
        <v/>
      </c>
      <c r="D6" s="4">
        <f>B6*C6</f>
        <v/>
      </c>
      <c r="E6" s="4" t="inlineStr">
        <is>
          <t>~3 email/пользователь</t>
        </is>
      </c>
    </row>
    <row r="7">
      <c r="A7" s="4" t="inlineStr">
        <is>
          <t>SMS (критичные)</t>
        </is>
      </c>
      <c r="B7" s="4" t="n">
        <v>0.05</v>
      </c>
      <c r="C7" s="4">
        <f>CONTROL!B22*0.1</f>
        <v/>
      </c>
      <c r="D7" s="4">
        <f>B7*C7</f>
        <v/>
      </c>
      <c r="E7" s="4" t="inlineStr">
        <is>
          <t>10% пользователей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3" t="inlineStr">
        <is>
          <t>API И ИНТЕГРАЦИИ</t>
        </is>
      </c>
      <c r="B9" s="3" t="inlineStr"/>
      <c r="C9" s="3" t="inlineStr"/>
      <c r="D9" s="3" t="inlineStr"/>
      <c r="E9" s="3" t="inlineStr"/>
    </row>
    <row r="10">
      <c r="A10" s="4" t="inlineStr">
        <is>
          <t>Webhook calls</t>
        </is>
      </c>
      <c r="B10" s="4" t="n">
        <v>0.0001</v>
      </c>
      <c r="C10" s="4">
        <f>CONTROL!B22*5</f>
        <v/>
      </c>
      <c r="D10" s="4">
        <f>B11*C11</f>
        <v/>
      </c>
      <c r="E10" s="4" t="inlineStr">
        <is>
          <t>~5 webhooks/пользователь</t>
        </is>
      </c>
    </row>
    <row r="11">
      <c r="A11" s="4" t="inlineStr">
        <is>
          <t>Payment Gateway (Stripe)</t>
        </is>
      </c>
      <c r="B11" s="4" t="n">
        <v>0</v>
      </c>
      <c r="C11" s="4" t="n">
        <v>1</v>
      </c>
      <c r="D11" s="4">
        <f>B12*C12</f>
        <v/>
      </c>
      <c r="E11" s="4" t="inlineStr">
        <is>
          <t>% от транзакций отдельно</t>
        </is>
      </c>
    </row>
    <row r="12">
      <c r="A12" s="4" t="inlineStr">
        <is>
          <t>Analytics (Mixpanel)</t>
        </is>
      </c>
      <c r="B12" s="4" t="n">
        <v>0</v>
      </c>
      <c r="C12" s="4" t="n">
        <v>1</v>
      </c>
      <c r="D12" s="4">
        <f>B13*C13</f>
        <v/>
      </c>
      <c r="E12" s="4" t="inlineStr">
        <is>
          <t>Free tier</t>
        </is>
      </c>
    </row>
    <row r="15">
      <c r="A15" s="8" t="inlineStr">
        <is>
          <t>ИТОГО ТРАФИК</t>
        </is>
      </c>
      <c r="B15" s="4" t="n"/>
      <c r="C15" s="4" t="n"/>
      <c r="D15" s="8">
        <f>SUM(D5:D14)</f>
        <v/>
      </c>
      <c r="E15" s="4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>
      <c r="A1" s="9" t="inlineStr">
        <is>
          <t>СВОДКА РАСХОДОВ</t>
        </is>
      </c>
    </row>
    <row r="3">
      <c r="A3" t="inlineStr">
        <is>
          <t>Расчет для месяца:</t>
        </is>
      </c>
      <c r="B3" s="10">
        <f>CONTROL!B7</f>
        <v/>
      </c>
      <c r="C3" t="inlineStr">
        <is>
          <t>Пользователей:</t>
        </is>
      </c>
      <c r="D3" s="11">
        <f>CONTROL!B22</f>
        <v/>
      </c>
    </row>
    <row r="5">
      <c r="A5" s="2" t="inlineStr">
        <is>
          <t>Категория</t>
        </is>
      </c>
      <c r="B5" s="2" t="inlineStr">
        <is>
          <t>Сумма ($)</t>
        </is>
      </c>
      <c r="C5" s="2" t="inlineStr">
        <is>
          <t>% от общего</t>
        </is>
      </c>
      <c r="D5" s="2" t="inlineStr">
        <is>
          <t>Комментарий</t>
        </is>
      </c>
    </row>
    <row r="6">
      <c r="A6" s="4" t="inlineStr">
        <is>
          <t>AI и Генерация</t>
        </is>
      </c>
      <c r="B6" s="4">
        <f>AI_Generation!D22</f>
        <v/>
      </c>
      <c r="C6" s="4">
        <f>B6/$B$10*100</f>
        <v/>
      </c>
      <c r="D6" s="4" t="inlineStr">
        <is>
          <t>Pixelcut, Video, LLM</t>
        </is>
      </c>
    </row>
    <row r="7">
      <c r="A7" s="4" t="inlineStr">
        <is>
          <t>Инфраструктура</t>
        </is>
      </c>
      <c r="B7" s="4">
        <f>Infrastructure!D25</f>
        <v/>
      </c>
      <c r="C7" s="4">
        <f>B7/$B$10*100</f>
        <v/>
      </c>
      <c r="D7" s="4" t="inlineStr">
        <is>
          <t>Серверы, БД, Хранилище</t>
        </is>
      </c>
    </row>
    <row r="8">
      <c r="A8" s="4" t="inlineStr">
        <is>
          <t>Трафик и Коммуникации</t>
        </is>
      </c>
      <c r="B8" s="4">
        <f>Traffic!D15</f>
        <v/>
      </c>
      <c r="C8" s="4">
        <f>B8/$B$10*100</f>
        <v/>
      </c>
      <c r="D8" s="4" t="inlineStr">
        <is>
          <t>Push, Email, SMS</t>
        </is>
      </c>
    </row>
    <row r="10">
      <c r="A10" s="12" t="inlineStr">
        <is>
          <t>ОБЩИЙ ИТОГ</t>
        </is>
      </c>
      <c r="B10" s="12">
        <f>SUM(B6:B8)</f>
        <v/>
      </c>
      <c r="C10" s="4" t="inlineStr">
        <is>
          <t>100%</t>
        </is>
      </c>
      <c r="D10" s="4" t="n"/>
    </row>
    <row r="12">
      <c r="A12" s="6" t="inlineStr">
        <is>
          <t>UNIT ECONOMICS</t>
        </is>
      </c>
    </row>
    <row r="13">
      <c r="A13" s="4" t="inlineStr">
        <is>
          <t>Стоимость 1 пользователя</t>
        </is>
      </c>
      <c r="B13" s="7">
        <f>B10/CONTROL!B22</f>
        <v/>
      </c>
      <c r="C13" s="4" t="inlineStr">
        <is>
          <t>$</t>
        </is>
      </c>
      <c r="D13" s="4" t="inlineStr">
        <is>
          <t>Средняя за месяц</t>
        </is>
      </c>
    </row>
    <row r="14">
      <c r="A14" s="4" t="inlineStr">
        <is>
          <t>Стоимость 1 примерки</t>
        </is>
      </c>
      <c r="B14" s="7">
        <f>AI_Generation!D5/CONTROL!B23</f>
        <v/>
      </c>
      <c r="C14" s="4" t="inlineStr">
        <is>
          <t>$</t>
        </is>
      </c>
      <c r="D14" s="4" t="inlineStr">
        <is>
          <t>Только Pixelcut</t>
        </is>
      </c>
    </row>
    <row r="15">
      <c r="A15" s="4" t="inlineStr">
        <is>
          <t>Стоимость 1 видео</t>
        </is>
      </c>
      <c r="B15" s="7">
        <f>AI_Generation!D9/CONTROL!B24</f>
        <v/>
      </c>
      <c r="C15" s="4" t="inlineStr">
        <is>
          <t>$</t>
        </is>
      </c>
      <c r="D15" s="4" t="inlineStr">
        <is>
          <t>Только генерация</t>
        </is>
      </c>
    </row>
    <row r="16">
      <c r="A16" s="4" t="inlineStr">
        <is>
          <t>Себестоимость образа (полная)</t>
        </is>
      </c>
      <c r="B16" s="7">
        <f>(AI_Generation!D5+AI_Generation!D19+AI_Generation!D20)/CONTROL!B23</f>
        <v/>
      </c>
      <c r="C16" s="4" t="inlineStr">
        <is>
          <t>$</t>
        </is>
      </c>
      <c r="D16" s="4" t="inlineStr">
        <is>
          <t>Try-on + обработка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9" t="inlineStr">
        <is>
          <t>ПРОГНОЗ НА 6 МЕСЯЦЕВ</t>
        </is>
      </c>
    </row>
    <row r="3">
      <c r="A3" s="2" t="inlineStr">
        <is>
          <t>Показатель</t>
        </is>
      </c>
      <c r="B3" s="2" t="inlineStr">
        <is>
          <t>Месяц 1</t>
        </is>
      </c>
      <c r="C3" s="2" t="inlineStr">
        <is>
          <t>Месяц 2</t>
        </is>
      </c>
      <c r="D3" s="2" t="inlineStr">
        <is>
          <t>Месяц 3</t>
        </is>
      </c>
      <c r="E3" s="2" t="inlineStr">
        <is>
          <t>Месяц 4</t>
        </is>
      </c>
      <c r="F3" s="2" t="inlineStr">
        <is>
          <t>Месяц 5</t>
        </is>
      </c>
      <c r="G3" s="2" t="inlineStr">
        <is>
          <t>Месяц 6</t>
        </is>
      </c>
      <c r="H3" s="2" t="inlineStr">
        <is>
          <t>Рост</t>
        </is>
      </c>
    </row>
    <row r="4">
      <c r="A4" s="4" t="inlineStr">
        <is>
          <t>Пользователи</t>
        </is>
      </c>
      <c r="B4" s="4">
        <f>CONTROL!B5</f>
        <v/>
      </c>
      <c r="C4" s="4">
        <f>B4*(1+CONTROL!$B$6/100)</f>
        <v/>
      </c>
      <c r="D4" s="4">
        <f>C4*(1+CONTROL!$B$6/100)</f>
        <v/>
      </c>
      <c r="E4" s="4">
        <f>D4*(1+CONTROL!$B$6/100)</f>
        <v/>
      </c>
      <c r="F4" s="4">
        <f>E4*(1+CONTROL!$B$6/100)</f>
        <v/>
      </c>
      <c r="G4" s="4">
        <f>F4*(1+CONTROL!$B$6/100)</f>
        <v/>
      </c>
      <c r="H4" s="13">
        <f>G4/B4-1</f>
        <v/>
      </c>
    </row>
    <row r="5">
      <c r="A5" s="4" t="inlineStr">
        <is>
          <t>Примерок (всего)</t>
        </is>
      </c>
      <c r="B5" s="4">
        <f>B4*CONTROL!$B$10</f>
        <v/>
      </c>
      <c r="C5" s="4">
        <f>C4*CONTROL!$B$10</f>
        <v/>
      </c>
      <c r="D5" s="4">
        <f>D4*CONTROL!$B$10</f>
        <v/>
      </c>
      <c r="E5" s="4">
        <f>E4*CONTROL!$B$10</f>
        <v/>
      </c>
      <c r="F5" s="4">
        <f>F4*CONTROL!$B$10</f>
        <v/>
      </c>
      <c r="G5" s="4">
        <f>G4*CONTROL!$B$10</f>
        <v/>
      </c>
      <c r="H5" s="13">
        <f>G5/B5-1</f>
        <v/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ЗАТРАТЫ ($)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AI и Генерация</t>
        </is>
      </c>
      <c r="B8" s="4">
        <f>B5*0.1 + B4*CONTROL!$B$11*0.5 + B4*CONTROL!$B$12*0.005*2</f>
        <v/>
      </c>
      <c r="C8" s="4">
        <f>C5*0.1 + C4*CONTROL!$B$11*0.5 + C4*CONTROL!$B$12*0.005*2</f>
        <v/>
      </c>
      <c r="D8" s="4">
        <f>D5*0.1 + D4*CONTROL!$B$11*0.5 + D4*CONTROL!$B$12*0.005*2</f>
        <v/>
      </c>
      <c r="E8" s="4">
        <f>E5*0.1 + E4*CONTROL!$B$11*0.5 + E4*CONTROL!$B$12*0.005*2</f>
        <v/>
      </c>
      <c r="F8" s="4">
        <f>F5*0.1 + F4*CONTROL!$B$11*0.5 + F4*CONTROL!$B$12*0.005*2</f>
        <v/>
      </c>
      <c r="G8" s="4">
        <f>G5*0.1 + G4*CONTROL!$B$11*0.5 + G4*CONTROL!$B$12*0.005*2</f>
        <v/>
      </c>
      <c r="H8" s="13">
        <f>G8/B8-1</f>
        <v/>
      </c>
    </row>
    <row r="9">
      <c r="A9" s="4" t="inlineStr">
        <is>
          <t>Инфраструктура</t>
        </is>
      </c>
      <c r="B9" s="4">
        <f>45*CEILING(B4/CONTROL!$B$19,1)+60*CEILING(CEILING(B4/CONTROL!$B$19,1)/2,1)+40+15+26+20</f>
        <v/>
      </c>
      <c r="C9" s="4">
        <f>45*CEILING(C4/CONTROL!$B$19,1)+60*CEILING(CEILING(C4/CONTROL!$B$19,1)/2,1)+40+15+26+20</f>
        <v/>
      </c>
      <c r="D9" s="4">
        <f>45*CEILING(D4/CONTROL!$B$19,1)+60*CEILING(CEILING(D4/CONTROL!$B$19,1)/2,1)+40+15+26+20</f>
        <v/>
      </c>
      <c r="E9" s="4">
        <f>45*CEILING(E4/CONTROL!$B$19,1)+60*CEILING(CEILING(E4/CONTROL!$B$19,1)/2,1)+40+15+26+20</f>
        <v/>
      </c>
      <c r="F9" s="4">
        <f>45*CEILING(F4/CONTROL!$B$19,1)+60*CEILING(CEILING(F4/CONTROL!$B$19,1)/2,1)+40+15+26+20</f>
        <v/>
      </c>
      <c r="G9" s="4">
        <f>45*CEILING(G4/CONTROL!$B$19,1)+60*CEILING(CEILING(G4/CONTROL!$B$19,1)/2,1)+40+15+26+20</f>
        <v/>
      </c>
      <c r="H9" s="13">
        <f>G9/B9-1</f>
        <v/>
      </c>
    </row>
    <row r="10">
      <c r="A10" s="4" t="inlineStr">
        <is>
          <t>Трафик</t>
        </is>
      </c>
      <c r="B10" s="4">
        <f>B4*10*0.0001+B4*3*0.001+B4*0.1*0.05</f>
        <v/>
      </c>
      <c r="C10" s="4">
        <f>C4*10*0.0001+C4*3*0.001+C4*0.1*0.05</f>
        <v/>
      </c>
      <c r="D10" s="4">
        <f>D4*10*0.0001+D4*3*0.001+D4*0.1*0.05</f>
        <v/>
      </c>
      <c r="E10" s="4">
        <f>E4*10*0.0001+E4*3*0.001+E4*0.1*0.05</f>
        <v/>
      </c>
      <c r="F10" s="4">
        <f>F4*10*0.0001+F4*3*0.001+F4*0.1*0.05</f>
        <v/>
      </c>
      <c r="G10" s="4">
        <f>G4*10*0.0001+G4*3*0.001+G4*0.1*0.05</f>
        <v/>
      </c>
      <c r="H10" s="13">
        <f>G10/B10-1</f>
        <v/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8" t="inlineStr">
        <is>
          <t>ИТОГО МЕСЯЦ</t>
        </is>
      </c>
      <c r="B12" s="7">
        <f>B8+B9+B10</f>
        <v/>
      </c>
      <c r="C12" s="7">
        <f>C8+C9+C10</f>
        <v/>
      </c>
      <c r="D12" s="7">
        <f>D8+D9+D10</f>
        <v/>
      </c>
      <c r="E12" s="7">
        <f>E8+E9+E10</f>
        <v/>
      </c>
      <c r="F12" s="7">
        <f>F8+F9+F10</f>
        <v/>
      </c>
      <c r="G12" s="7">
        <f>G8+G9+G10</f>
        <v/>
      </c>
      <c r="H12" s="14">
        <f>G12/B12-1</f>
        <v/>
      </c>
    </row>
    <row r="13">
      <c r="A13" s="8" t="inlineStr">
        <is>
          <t>Накопительно</t>
        </is>
      </c>
      <c r="B13" s="7">
        <f>B12</f>
        <v/>
      </c>
      <c r="C13" s="7">
        <f>B13+C12</f>
        <v/>
      </c>
      <c r="D13" s="7">
        <f>C13+D12</f>
        <v/>
      </c>
      <c r="E13" s="7">
        <f>D13+E12</f>
        <v/>
      </c>
      <c r="F13" s="7">
        <f>E13+F12</f>
        <v/>
      </c>
      <c r="G13" s="7">
        <f>F13+G12</f>
        <v/>
      </c>
      <c r="H13" s="7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3" t="inlineStr">
        <is>
          <t>UNIT ECONOMICS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4" t="inlineStr">
        <is>
          <t>$/пользователь</t>
        </is>
      </c>
      <c r="B16" s="4">
        <f>B12/B4</f>
        <v/>
      </c>
      <c r="C16" s="4">
        <f>C12/C4</f>
        <v/>
      </c>
      <c r="D16" s="4">
        <f>D12/D4</f>
        <v/>
      </c>
      <c r="E16" s="4">
        <f>E12/E4</f>
        <v/>
      </c>
      <c r="F16" s="4">
        <f>F12/F4</f>
        <v/>
      </c>
      <c r="G16" s="4">
        <f>G12/G4</f>
        <v/>
      </c>
      <c r="H16" s="13">
        <f>G16/B16-1</f>
        <v/>
      </c>
    </row>
    <row r="17">
      <c r="A17" s="4" t="inlineStr">
        <is>
          <t>$/примерка</t>
        </is>
      </c>
      <c r="B17" s="4">
        <f>B8/B5</f>
        <v/>
      </c>
      <c r="C17" s="4">
        <f>C8/C5</f>
        <v/>
      </c>
      <c r="D17" s="4">
        <f>D8/D5</f>
        <v/>
      </c>
      <c r="E17" s="4">
        <f>E8/E5</f>
        <v/>
      </c>
      <c r="F17" s="4">
        <f>F8/F5</f>
        <v/>
      </c>
      <c r="G17" s="4">
        <f>G8/G5</f>
        <v/>
      </c>
      <c r="H17" s="13">
        <f>G17/B17-1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9" t="inlineStr">
        <is>
          <t>КАЛЬКУЛЯТОР СТОИМОСТИ ТОКЕНОВ</t>
        </is>
      </c>
    </row>
    <row r="3">
      <c r="A3" s="2" t="inlineStr">
        <is>
          <t>Провайдер / Модель</t>
        </is>
      </c>
      <c r="B3" s="2" t="inlineStr">
        <is>
          <t>Input ($/1M)</t>
        </is>
      </c>
      <c r="C3" s="2" t="inlineStr">
        <is>
          <t>Output ($/1M)</t>
        </is>
      </c>
      <c r="D3" s="2" t="inlineStr">
        <is>
          <t>Токенов/запрос</t>
        </is>
      </c>
      <c r="E3" s="2" t="inlineStr">
        <is>
          <t>Запросов</t>
        </is>
      </c>
      <c r="F3" s="2" t="inlineStr">
        <is>
          <t>Итого ($)</t>
        </is>
      </c>
    </row>
    <row r="4">
      <c r="A4" s="3" t="inlineStr">
        <is>
          <t>OPENAI</t>
        </is>
      </c>
      <c r="B4" s="3" t="inlineStr"/>
      <c r="C4" s="3" t="inlineStr"/>
      <c r="D4" s="3" t="inlineStr"/>
      <c r="E4" s="3" t="inlineStr"/>
      <c r="F4" s="3" t="inlineStr"/>
    </row>
    <row r="5">
      <c r="A5" s="4" t="inlineStr">
        <is>
          <t>GPT-4o</t>
        </is>
      </c>
      <c r="B5" s="4" t="n">
        <v>2.5</v>
      </c>
      <c r="C5" s="4" t="n">
        <v>10</v>
      </c>
      <c r="D5" s="4" t="n">
        <v>2000</v>
      </c>
      <c r="E5" s="4">
        <f>CONTROL!B25</f>
        <v/>
      </c>
      <c r="F5" s="4">
        <f>(B5*C5/1000000+C5*D5/1000000)*E5</f>
        <v/>
      </c>
    </row>
    <row r="6">
      <c r="A6" s="4" t="inlineStr">
        <is>
          <t>GPT-4o-mini</t>
        </is>
      </c>
      <c r="B6" s="4" t="n">
        <v>0.15</v>
      </c>
      <c r="C6" s="4" t="n">
        <v>0.6</v>
      </c>
      <c r="D6" s="4" t="n">
        <v>1500</v>
      </c>
      <c r="E6" s="4">
        <f>CONTROL!B25*0.5</f>
        <v/>
      </c>
      <c r="F6" s="4">
        <f>(B6*D6/1000000+C6*D6/1000000)*E6</f>
        <v/>
      </c>
    </row>
    <row r="7">
      <c r="A7" s="4" t="inlineStr">
        <is>
          <t>GPT-4-turbo</t>
        </is>
      </c>
      <c r="B7" s="4" t="n">
        <v>10</v>
      </c>
      <c r="C7" s="4" t="n">
        <v>30</v>
      </c>
      <c r="D7" s="4" t="n">
        <v>2000</v>
      </c>
      <c r="E7" s="4" t="n">
        <v>0</v>
      </c>
      <c r="F7" s="4">
        <f>(B7*D7/1000000+C7*D7/1000000)*E7</f>
        <v/>
      </c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3" t="inlineStr">
        <is>
          <t>ANTHROPIC</t>
        </is>
      </c>
      <c r="B9" s="3" t="inlineStr"/>
      <c r="C9" s="3" t="inlineStr"/>
      <c r="D9" s="3" t="inlineStr"/>
      <c r="E9" s="3" t="inlineStr"/>
      <c r="F9" s="3" t="inlineStr"/>
    </row>
    <row r="10">
      <c r="A10" s="4" t="inlineStr">
        <is>
          <t>Claude 3.5 Sonnet</t>
        </is>
      </c>
      <c r="B10" s="4" t="n">
        <v>3</v>
      </c>
      <c r="C10" s="4" t="n">
        <v>15</v>
      </c>
      <c r="D10" s="4" t="n">
        <v>2000</v>
      </c>
      <c r="E10" s="4" t="n">
        <v>0</v>
      </c>
      <c r="F10" s="4">
        <f>(B11*D11/1000000+C11*D11/1000000)*E11</f>
        <v/>
      </c>
    </row>
    <row r="11">
      <c r="A11" s="4" t="inlineStr">
        <is>
          <t>Claude 3 Haiku</t>
        </is>
      </c>
      <c r="B11" s="4" t="n">
        <v>0.25</v>
      </c>
      <c r="C11" s="4" t="n">
        <v>1.25</v>
      </c>
      <c r="D11" s="4" t="n">
        <v>1500</v>
      </c>
      <c r="E11" s="4" t="n">
        <v>0</v>
      </c>
      <c r="F11" s="4">
        <f>(B12*D12/1000000+C12*D12/1000000)*E12</f>
        <v/>
      </c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3" t="inlineStr">
        <is>
          <t>GOOGLE</t>
        </is>
      </c>
      <c r="B13" s="3" t="inlineStr"/>
      <c r="C13" s="3" t="inlineStr"/>
      <c r="D13" s="3" t="inlineStr"/>
      <c r="E13" s="3" t="inlineStr"/>
      <c r="F13" s="3" t="inlineStr"/>
    </row>
    <row r="14">
      <c r="A14" s="4" t="inlineStr">
        <is>
          <t>Gemini 1.5 Pro</t>
        </is>
      </c>
      <c r="B14" s="4" t="n">
        <v>1.25</v>
      </c>
      <c r="C14" s="4" t="n">
        <v>5</v>
      </c>
      <c r="D14" s="4" t="n">
        <v>2000</v>
      </c>
      <c r="E14" s="4" t="n">
        <v>0</v>
      </c>
      <c r="F14" s="4">
        <f>(B16*D16/1000000+C16*D16/1000000)*E16</f>
        <v/>
      </c>
    </row>
    <row r="15">
      <c r="A15" s="4" t="inlineStr">
        <is>
          <t>Gemini 1.5 Flash</t>
        </is>
      </c>
      <c r="B15" s="4" t="n">
        <v>0.075</v>
      </c>
      <c r="C15" s="4" t="n">
        <v>0.3</v>
      </c>
      <c r="D15" s="4" t="n">
        <v>1500</v>
      </c>
      <c r="E15" s="4" t="n">
        <v>0</v>
      </c>
      <c r="F15" s="4">
        <f>(B17*D17/1000000+C17*D17/1000000)*E17</f>
        <v/>
      </c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3" t="inlineStr">
        <is>
          <t>EMBEDDINGS</t>
        </is>
      </c>
      <c r="B17" s="3" t="inlineStr"/>
      <c r="C17" s="3" t="inlineStr"/>
      <c r="D17" s="3" t="inlineStr"/>
      <c r="E17" s="3" t="inlineStr"/>
      <c r="F17" s="3" t="inlineStr"/>
    </row>
    <row r="18">
      <c r="A18" s="4" t="inlineStr">
        <is>
          <t>text-embedding-3-small</t>
        </is>
      </c>
      <c r="B18" s="4" t="n">
        <v>0.02</v>
      </c>
      <c r="C18" s="4" t="n">
        <v>0</v>
      </c>
      <c r="D18" s="4" t="n">
        <v>500</v>
      </c>
      <c r="E18" s="4">
        <f>CONTROL!B25</f>
        <v/>
      </c>
      <c r="F18" s="4">
        <f>B21*D21/1000000*E21</f>
        <v/>
      </c>
    </row>
    <row r="19">
      <c r="A19" s="4" t="inlineStr">
        <is>
          <t>text-embedding-3-large</t>
        </is>
      </c>
      <c r="B19" s="4" t="n">
        <v>0.13</v>
      </c>
      <c r="C19" s="4" t="n">
        <v>0</v>
      </c>
      <c r="D19" s="4" t="n">
        <v>500</v>
      </c>
      <c r="E19" s="4" t="n">
        <v>0</v>
      </c>
      <c r="F19" s="4">
        <f>B22*D22/1000000*E22</f>
        <v/>
      </c>
    </row>
    <row r="24">
      <c r="A24" s="8" t="inlineStr">
        <is>
          <t>ИТОГО LLM ЗАТРАТЫ</t>
        </is>
      </c>
      <c r="B24" s="4" t="n"/>
      <c r="C24" s="4" t="n"/>
      <c r="D24" s="4" t="n"/>
      <c r="E24" s="4" t="n"/>
      <c r="F24" s="8">
        <f>SUM(F5:F23)</f>
        <v/>
      </c>
    </row>
    <row r="26">
      <c r="A26" s="15" t="inlineStr">
        <is>
          <t>ПАМЯТКА: 1M = 1,000,000 токенов. ~750 слов = ~1000 токенов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2026-02-07T16:34:02Z</dcterms:created>
  <dcterms:modified xmlns:dcterms="http://purl.org/dc/terms/" xmlns:xsi="http://www.w3.org/2001/XMLSchema-instance" xsi:type="dcterms:W3CDTF">2026-02-07T16:34:02Z</dcterms:modified>
</cp:coreProperties>
</file>